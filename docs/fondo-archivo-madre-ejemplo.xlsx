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strucciones" state="visible" r:id="rId4"/>
    <sheet sheetId="2" name="valor_cuotaparte" state="visible" r:id="rId5"/>
    <sheet sheetId="3" name="posiciones" state="visible" r:id="rId6"/>
    <sheet sheetId="4" name="fondo" state="visible" r:id="rId7"/>
    <sheet sheetId="5" name="clientes" state="visible" r:id="rId8"/>
    <sheet sheetId="6" name="movimientos" state="visible" r:id="rId9"/>
  </sheets>
  <calcPr calcId="171027"/>
</workbook>
</file>

<file path=xl/sharedStrings.xml><?xml version="1.0" encoding="utf-8"?>
<sst xmlns="http://schemas.openxmlformats.org/spreadsheetml/2006/main" count="96" uniqueCount="75">
  <si>
    <t>ARCHIVO MADRE — FONDO PRIVADO (EJEMPLO)</t>
  </si>
  <si>
    <t>Este archivo es la fuente de carga del portal de clientes. La app NO lo lee en vivo:</t>
  </si>
  <si>
    <t>un proceso de importacion lo valida y vuelca los datos a la base de datos.</t>
  </si>
  <si>
    <t>COMO LEER LOS COLORES DE LAS CELDAS:</t>
  </si>
  <si>
    <t xml:space="preserve">   • Texto AZUL  = dato que el administrador carga a mano.</t>
  </si>
  <si>
    <t xml:space="preserve">   • Texto NEGRO = se calcula solo (formula dentro de la misma hoja).</t>
  </si>
  <si>
    <t xml:space="preserve">   • Texto VERDE = se calcula solo (formula que toma datos de otra hoja).</t>
  </si>
  <si>
    <t>REGLAS PARA QUE LA APP LO LEA SIN ERRORES:</t>
  </si>
  <si>
    <t xml:space="preserve">   • Una sola fila de encabezados (fila 1). Los datos arrancan en la fila 2.</t>
  </si>
  <si>
    <t xml:space="preserve">   • Fechas en formato AAAA-MM-DD. Numeros como numeros (sin $ ni texto).</t>
  </si>
  <si>
    <t xml:space="preserve">   • Sin celdas combinadas, sin filas en blanco intermedias.</t>
  </si>
  <si>
    <t xml:space="preserve">   • Para agregar datos nuevos (un mes, un movimiento) se agrega una FILA, nunca una hoja nueva.</t>
  </si>
  <si>
    <t>SEGURIDAD — IMPORTANTE:</t>
  </si>
  <si>
    <t xml:space="preserve">   • Las contraseñas NUNCA van en este archivo. El login lo maneja el sistema de autenticacion.</t>
  </si>
  <si>
    <t xml:space="preserve">   • Cada cliente se vincula por su 'cliente_id' / 'email'.</t>
  </si>
  <si>
    <t>HOJAS DEL ARCHIVO:</t>
  </si>
  <si>
    <t xml:space="preserve">   fondo            → corte general del fondo (total, cuotaparte, cuotapartes emitidas).</t>
  </si>
  <si>
    <t xml:space="preserve">   valor_cuotaparte → historico del valor de la cuotaparte (una fila por fecha).</t>
  </si>
  <si>
    <t xml:space="preserve">   posiciones       → posiciones actuales del fondo (una fila por activo).</t>
  </si>
  <si>
    <t xml:space="preserve">   clientes         → registro de clientes (una fila por cliente).</t>
  </si>
  <si>
    <t xml:space="preserve">   movimientos      → aportes y retiros (una fila por movimiento).</t>
  </si>
  <si>
    <t>La cantidad de cuotapartes y el valor de la inversion de cada cliente NO se cargan:</t>
  </si>
  <si>
    <t>la app los deriva a partir de los movimientos y del historico de la cuotaparte.</t>
  </si>
  <si>
    <t>fecha</t>
  </si>
  <si>
    <t>valor_cuotaparte</t>
  </si>
  <si>
    <t>ticker</t>
  </si>
  <si>
    <t>nombre</t>
  </si>
  <si>
    <t>tipo_instrumento</t>
  </si>
  <si>
    <t>sector</t>
  </si>
  <si>
    <t>cantidad</t>
  </si>
  <si>
    <t>precio</t>
  </si>
  <si>
    <t>valor_mercado</t>
  </si>
  <si>
    <t>AAPL</t>
  </si>
  <si>
    <t>Apple Inc.</t>
  </si>
  <si>
    <t>Accion</t>
  </si>
  <si>
    <t>Tecnologia</t>
  </si>
  <si>
    <t>MSFT</t>
  </si>
  <si>
    <t>Microsoft</t>
  </si>
  <si>
    <t>NVDA</t>
  </si>
  <si>
    <t>Nvidia</t>
  </si>
  <si>
    <t>SPY</t>
  </si>
  <si>
    <t>ETF S&amp;P 500</t>
  </si>
  <si>
    <t>ETF</t>
  </si>
  <si>
    <t>Diversificado</t>
  </si>
  <si>
    <t>AL30</t>
  </si>
  <si>
    <t>Bono Soberano AL30</t>
  </si>
  <si>
    <t>Bono</t>
  </si>
  <si>
    <t>Renta Fija</t>
  </si>
  <si>
    <t>GGAL</t>
  </si>
  <si>
    <t>Grupo Galicia</t>
  </si>
  <si>
    <t>Financiero</t>
  </si>
  <si>
    <t>TSLA-P</t>
  </si>
  <si>
    <t>Put Tesla (cobertura)</t>
  </si>
  <si>
    <t>Opcion</t>
  </si>
  <si>
    <t>Derivados</t>
  </si>
  <si>
    <t>valor_total_fondo</t>
  </si>
  <si>
    <t>cuotapartes_totales</t>
  </si>
  <si>
    <t>cliente_id</t>
  </si>
  <si>
    <t>email</t>
  </si>
  <si>
    <t>activo</t>
  </si>
  <si>
    <t>CLI-0001</t>
  </si>
  <si>
    <t>Juan Perez</t>
  </si>
  <si>
    <t>juan@ejemplo.com</t>
  </si>
  <si>
    <t>si</t>
  </si>
  <si>
    <t>CLI-0002</t>
  </si>
  <si>
    <t>Maria Gonzalez</t>
  </si>
  <si>
    <t>maria@ejemplo.com</t>
  </si>
  <si>
    <t>CLI-0003</t>
  </si>
  <si>
    <t>Carlos Diaz</t>
  </si>
  <si>
    <t>benjaminschmittt@gmail.com</t>
  </si>
  <si>
    <t>tipo</t>
  </si>
  <si>
    <t>monto</t>
  </si>
  <si>
    <t>cuotapartes</t>
  </si>
  <si>
    <t>aporte</t>
  </si>
  <si>
    <t>retiro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</si>
</sst>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yyyy-mm-dd"/>
    <numFmt numFmtId="165" formatCode="0.0000"/>
    <numFmt numFmtId="166" formatCode="$#,##0.00"/>
    <numFmt numFmtId="167" formatCode="$#,##0"/>
    <numFmt numFmtId="168" formatCode="#,##0.0000"/>
  </numFmts>
  <fonts count="9" x14ac:knownFonts="1">
    <font>
      <color theme="1"/>
      <family val="2"/>
      <scheme val="minor"/>
      <sz val="11"/>
      <name val="Calibri"/>
    </font>
    <font>
      <b/>
      <charset val="1"/>
      <color rgb="FF00296B"/>
      <sz val="14"/>
      <name val="Arial"/>
    </font>
    <font>
      <charset val="1"/>
      <color rgb="FF000000"/>
      <sz val="10"/>
      <name val="Arial"/>
    </font>
    <font>
      <b/>
      <charset val="1"/>
      <color rgb="FF000000"/>
      <sz val="11"/>
      <name val="Arial"/>
    </font>
    <font>
      <charset val="1"/>
      <color rgb="FF0000FF"/>
      <sz val="10"/>
      <name val="Arial"/>
    </font>
    <font>
      <charset val="1"/>
      <color rgb="FF008000"/>
      <sz val="10"/>
      <name val="Arial"/>
    </font>
    <font>
      <b/>
      <charset val="1"/>
      <color rgb="FFB91C1C"/>
      <sz val="11"/>
      <name val="Arial"/>
    </font>
    <font>
      <charset val="1"/>
      <color rgb="FFB91C1C"/>
      <sz val="10"/>
      <name val="Arial"/>
    </font>
    <font>
      <b/>
      <charset val="1"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00296B"/>
        <bgColor rgb="FF00008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0" borderId="0" xfId="0" applyFont="1" applyAlignment="1">
      <alignment vertical="bottom"/>
    </xf>
    <xf numFmtId="0" fontId="6" fillId="0" borderId="0" xfId="0" applyFont="1" applyAlignment="1">
      <alignment vertical="bottom"/>
    </xf>
    <xf numFmtId="0" fontId="7" fillId="0" borderId="0" xfId="0" applyFont="1" applyAlignment="1">
      <alignment vertical="bottom"/>
    </xf>
    <xf numFmtId="0" fontId="8" fillId="2" borderId="1" xfId="0" applyFont="1" applyFill="1" applyBorder="1" applyAlignment="1">
      <alignment horizontal="center" vertical="center"/>
    </xf>
    <xf numFmtId="164" fontId="4" fillId="0" borderId="0" xfId="0" applyNumberFormat="1" applyFont="1" applyAlignment="1">
      <alignment vertical="bottom"/>
    </xf>
    <xf numFmtId="165" fontId="4" fillId="0" borderId="0" xfId="0" applyNumberFormat="1" applyFont="1" applyAlignment="1">
      <alignment vertical="bottom"/>
    </xf>
    <xf numFmtId="166" fontId="4" fillId="0" borderId="0" xfId="0" applyNumberFormat="1" applyFont="1" applyAlignment="1">
      <alignment vertical="bottom"/>
    </xf>
    <xf numFmtId="167" fontId="2" fillId="0" borderId="0" xfId="0" applyNumberFormat="1" applyFont="1" applyAlignment="1">
      <alignment vertical="bottom"/>
    </xf>
    <xf numFmtId="167" fontId="5" fillId="0" borderId="0" xfId="0" applyNumberFormat="1" applyFont="1" applyAlignment="1">
      <alignment vertical="bottom"/>
    </xf>
    <xf numFmtId="165" fontId="5" fillId="0" borderId="0" xfId="0" applyNumberFormat="1" applyFont="1" applyAlignment="1">
      <alignment vertical="bottom"/>
    </xf>
    <xf numFmtId="168" fontId="2" fillId="0" borderId="0" xfId="0" applyNumberFormat="1" applyFont="1" applyAlignment="1">
      <alignment vertical="bottom"/>
    </xf>
    <xf numFmtId="167" fontId="4" fillId="0" borderId="0" xfId="0" applyNumberFormat="1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9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6796875"/>
  <cols>
    <col min="1" max="1" width="100" customWidth="1"/>
  </cols>
  <sheetData>
    <row r="1" ht="17.35" customHeight="1" spans="1:1" x14ac:dyDescent="0.25">
      <c r="A1" s="1" t="s">
        <v>0</v>
      </c>
    </row>
    <row r="2" ht="15" customHeight="1" spans="1:1" x14ac:dyDescent="0.25">
      <c r="A2" s="2"/>
    </row>
    <row r="3" ht="15" customHeight="1" spans="1:1" x14ac:dyDescent="0.25">
      <c r="A3" s="2" t="s">
        <v>1</v>
      </c>
    </row>
    <row r="4" ht="15" customHeight="1" spans="1:1" x14ac:dyDescent="0.25">
      <c r="A4" s="2" t="s">
        <v>2</v>
      </c>
    </row>
    <row r="5" ht="15" customHeight="1" spans="1:1" x14ac:dyDescent="0.25">
      <c r="A5" s="2"/>
    </row>
    <row r="6" ht="15" customHeight="1" spans="1:1" x14ac:dyDescent="0.25">
      <c r="A6" s="3" t="s">
        <v>3</v>
      </c>
    </row>
    <row r="7" ht="15" customHeight="1" spans="1:1" x14ac:dyDescent="0.25">
      <c r="A7" s="4" t="s">
        <v>4</v>
      </c>
    </row>
    <row r="8" ht="15" customHeight="1" spans="1:1" x14ac:dyDescent="0.25">
      <c r="A8" s="2" t="s">
        <v>5</v>
      </c>
    </row>
    <row r="9" ht="15" customHeight="1" spans="1:1" x14ac:dyDescent="0.25">
      <c r="A9" s="5" t="s">
        <v>6</v>
      </c>
    </row>
    <row r="10" ht="15" customHeight="1" spans="1:1" x14ac:dyDescent="0.25">
      <c r="A10" s="2"/>
    </row>
    <row r="11" ht="15" customHeight="1" spans="1:1" x14ac:dyDescent="0.25">
      <c r="A11" s="3" t="s">
        <v>7</v>
      </c>
    </row>
    <row r="12" ht="15" customHeight="1" spans="1:1" x14ac:dyDescent="0.25">
      <c r="A12" s="2" t="s">
        <v>8</v>
      </c>
    </row>
    <row r="13" ht="15" customHeight="1" spans="1:1" x14ac:dyDescent="0.25">
      <c r="A13" s="2" t="s">
        <v>9</v>
      </c>
    </row>
    <row r="14" ht="15" customHeight="1" spans="1:1" x14ac:dyDescent="0.25">
      <c r="A14" s="2" t="s">
        <v>10</v>
      </c>
    </row>
    <row r="15" ht="15" customHeight="1" spans="1:1" x14ac:dyDescent="0.25">
      <c r="A15" s="2" t="s">
        <v>11</v>
      </c>
    </row>
    <row r="16" ht="15" customHeight="1" spans="1:1" x14ac:dyDescent="0.25">
      <c r="A16" s="2"/>
    </row>
    <row r="17" ht="15" customHeight="1" spans="1:1" x14ac:dyDescent="0.25">
      <c r="A17" s="6" t="s">
        <v>12</v>
      </c>
    </row>
    <row r="18" ht="15" customHeight="1" spans="1:1" x14ac:dyDescent="0.25">
      <c r="A18" s="7" t="s">
        <v>13</v>
      </c>
    </row>
    <row r="19" ht="15" customHeight="1" spans="1:1" x14ac:dyDescent="0.25">
      <c r="A19" s="2" t="s">
        <v>14</v>
      </c>
    </row>
    <row r="20" ht="15" customHeight="1" spans="1:1" x14ac:dyDescent="0.25">
      <c r="A20" s="2"/>
    </row>
    <row r="21" ht="15" customHeight="1" spans="1:1" x14ac:dyDescent="0.25">
      <c r="A21" s="3" t="s">
        <v>15</v>
      </c>
    </row>
    <row r="22" ht="15" customHeight="1" spans="1:1" x14ac:dyDescent="0.25">
      <c r="A22" s="2" t="s">
        <v>16</v>
      </c>
    </row>
    <row r="23" ht="15" customHeight="1" spans="1:1" x14ac:dyDescent="0.25">
      <c r="A23" s="2" t="s">
        <v>17</v>
      </c>
    </row>
    <row r="24" ht="15" customHeight="1" spans="1:1" x14ac:dyDescent="0.25">
      <c r="A24" s="2" t="s">
        <v>18</v>
      </c>
    </row>
    <row r="25" ht="15" customHeight="1" spans="1:1" x14ac:dyDescent="0.25">
      <c r="A25" s="2" t="s">
        <v>19</v>
      </c>
    </row>
    <row r="26" ht="15" customHeight="1" spans="1:1" x14ac:dyDescent="0.25">
      <c r="A26" s="2" t="s">
        <v>20</v>
      </c>
    </row>
    <row r="27" ht="15" customHeight="1" spans="1:1" x14ac:dyDescent="0.25">
      <c r="A27" s="2"/>
    </row>
    <row r="28" ht="15" customHeight="1" spans="1:1" x14ac:dyDescent="0.25">
      <c r="A28" s="2" t="s">
        <v>21</v>
      </c>
    </row>
    <row r="29" ht="15" customHeight="1" spans="1:1" x14ac:dyDescent="0.25">
      <c r="A29" s="2" t="s">
        <v>22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4" customWidth="1"/>
    <col min="2" max="2" width="18" customWidth="1"/>
  </cols>
  <sheetData>
    <row r="1" ht="21.75" customHeight="1" spans="1:2" x14ac:dyDescent="0.25">
      <c r="A1" s="8" t="s">
        <v>23</v>
      </c>
      <c r="B1" s="8" t="s">
        <v>24</v>
      </c>
    </row>
    <row r="2" ht="15" customHeight="1" spans="1:2" x14ac:dyDescent="0.25">
      <c r="A2" s="9">
        <v>45869</v>
      </c>
      <c r="B2" s="10">
        <v>100</v>
      </c>
    </row>
    <row r="3" ht="15" customHeight="1" spans="1:2" x14ac:dyDescent="0.25">
      <c r="A3" s="9">
        <v>45900</v>
      </c>
      <c r="B3" s="10">
        <v>102.3</v>
      </c>
    </row>
    <row r="4" ht="15" customHeight="1" spans="1:2" x14ac:dyDescent="0.25">
      <c r="A4" s="9">
        <v>45930</v>
      </c>
      <c r="B4" s="10">
        <v>101.1</v>
      </c>
    </row>
    <row r="5" ht="15" customHeight="1" spans="1:2" x14ac:dyDescent="0.25">
      <c r="A5" s="9">
        <v>45961</v>
      </c>
      <c r="B5" s="10">
        <v>105.6</v>
      </c>
    </row>
    <row r="6" ht="15" customHeight="1" spans="1:2" x14ac:dyDescent="0.25">
      <c r="A6" s="9">
        <v>45991</v>
      </c>
      <c r="B6" s="10">
        <v>108.2</v>
      </c>
    </row>
    <row r="7" ht="15" customHeight="1" spans="1:2" x14ac:dyDescent="0.25">
      <c r="A7" s="9">
        <v>46022</v>
      </c>
      <c r="B7" s="10">
        <v>110.5</v>
      </c>
    </row>
    <row r="8" ht="15" customHeight="1" spans="1:2" x14ac:dyDescent="0.25">
      <c r="A8" s="9">
        <v>46053</v>
      </c>
      <c r="B8" s="10">
        <v>109</v>
      </c>
    </row>
    <row r="9" ht="15" customHeight="1" spans="1:2" x14ac:dyDescent="0.25">
      <c r="A9" s="9">
        <v>46081</v>
      </c>
      <c r="B9" s="10">
        <v>113.4</v>
      </c>
    </row>
    <row r="10" ht="15" customHeight="1" spans="1:2" x14ac:dyDescent="0.25">
      <c r="A10" s="9">
        <v>46112</v>
      </c>
      <c r="B10" s="10">
        <v>117.8</v>
      </c>
    </row>
    <row r="11" ht="15" customHeight="1" spans="1:2" x14ac:dyDescent="0.25">
      <c r="A11" s="9">
        <v>46142</v>
      </c>
      <c r="B11" s="10">
        <v>119.2</v>
      </c>
    </row>
    <row r="12" ht="15" customHeight="1" spans="1:2" x14ac:dyDescent="0.25">
      <c r="A12" s="9">
        <v>46173</v>
      </c>
      <c r="B12" s="10">
        <v>124.6</v>
      </c>
    </row>
    <row r="13" ht="15" customHeight="1" spans="1:2" x14ac:dyDescent="0.25">
      <c r="A13" s="9">
        <v>46203</v>
      </c>
      <c r="B13" s="10">
        <v>128.9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2" customWidth="1"/>
    <col min="3" max="3" width="22" customWidth="1"/>
    <col min="4" max="4" width="16" customWidth="1"/>
    <col min="5" max="5" width="14" customWidth="1"/>
    <col min="6" max="6" width="10" customWidth="1"/>
    <col min="7" max="7" width="11" customWidth="1"/>
    <col min="8" max="8" width="14" customWidth="1"/>
  </cols>
  <sheetData>
    <row r="1" ht="21.75" customHeight="1" spans="1:8" x14ac:dyDescent="0.25">
      <c r="A1" s="8" t="s">
        <v>23</v>
      </c>
      <c r="B1" s="8" t="s">
        <v>25</v>
      </c>
      <c r="C1" s="8" t="s">
        <v>26</v>
      </c>
      <c r="D1" s="8" t="s">
        <v>27</v>
      </c>
      <c r="E1" s="8" t="s">
        <v>28</v>
      </c>
      <c r="F1" s="8" t="s">
        <v>29</v>
      </c>
      <c r="G1" s="8" t="s">
        <v>30</v>
      </c>
      <c r="H1" s="8" t="s">
        <v>31</v>
      </c>
    </row>
    <row r="2" ht="15" customHeight="1" spans="1:8" x14ac:dyDescent="0.25">
      <c r="A2" s="9">
        <v>46203</v>
      </c>
      <c r="B2" s="4" t="s">
        <v>32</v>
      </c>
      <c r="C2" s="4" t="s">
        <v>33</v>
      </c>
      <c r="D2" s="4" t="s">
        <v>34</v>
      </c>
      <c r="E2" s="4" t="s">
        <v>35</v>
      </c>
      <c r="F2" s="4">
        <v>1000</v>
      </c>
      <c r="G2" s="11">
        <v>320</v>
      </c>
      <c r="H2" s="12">
        <f>F2*G2</f>
        <v>320000</v>
      </c>
    </row>
    <row r="3" ht="15" customHeight="1" spans="1:8" x14ac:dyDescent="0.25">
      <c r="A3" s="9">
        <v>46203</v>
      </c>
      <c r="B3" s="4" t="s">
        <v>36</v>
      </c>
      <c r="C3" s="4" t="s">
        <v>37</v>
      </c>
      <c r="D3" s="4" t="s">
        <v>34</v>
      </c>
      <c r="E3" s="4" t="s">
        <v>35</v>
      </c>
      <c r="F3" s="4">
        <v>500</v>
      </c>
      <c r="G3" s="11">
        <v>560</v>
      </c>
      <c r="H3" s="12">
        <f>F3*G3</f>
        <v>280000</v>
      </c>
    </row>
    <row r="4" ht="15" customHeight="1" spans="1:8" x14ac:dyDescent="0.25">
      <c r="A4" s="9">
        <v>46203</v>
      </c>
      <c r="B4" s="4" t="s">
        <v>38</v>
      </c>
      <c r="C4" s="4" t="s">
        <v>39</v>
      </c>
      <c r="D4" s="4" t="s">
        <v>34</v>
      </c>
      <c r="E4" s="4" t="s">
        <v>35</v>
      </c>
      <c r="F4" s="4">
        <v>200</v>
      </c>
      <c r="G4" s="11">
        <v>1000</v>
      </c>
      <c r="H4" s="12">
        <f>F4*G4</f>
        <v>200000</v>
      </c>
    </row>
    <row r="5" ht="15" customHeight="1" spans="1:8" x14ac:dyDescent="0.25">
      <c r="A5" s="9">
        <v>46203</v>
      </c>
      <c r="B5" s="4" t="s">
        <v>40</v>
      </c>
      <c r="C5" s="4" t="s">
        <v>41</v>
      </c>
      <c r="D5" s="4" t="s">
        <v>42</v>
      </c>
      <c r="E5" s="4" t="s">
        <v>43</v>
      </c>
      <c r="F5" s="4">
        <v>500</v>
      </c>
      <c r="G5" s="11">
        <v>500</v>
      </c>
      <c r="H5" s="12">
        <f>F5*G5</f>
        <v>250000</v>
      </c>
    </row>
    <row r="6" ht="15" customHeight="1" spans="1:8" x14ac:dyDescent="0.25">
      <c r="A6" s="9">
        <v>46203</v>
      </c>
      <c r="B6" s="4" t="s">
        <v>44</v>
      </c>
      <c r="C6" s="4" t="s">
        <v>45</v>
      </c>
      <c r="D6" s="4" t="s">
        <v>46</v>
      </c>
      <c r="E6" s="4" t="s">
        <v>47</v>
      </c>
      <c r="F6" s="4">
        <v>2000</v>
      </c>
      <c r="G6" s="11">
        <v>90</v>
      </c>
      <c r="H6" s="12">
        <f>F6*G6</f>
        <v>180000</v>
      </c>
    </row>
    <row r="7" ht="15" customHeight="1" spans="1:8" x14ac:dyDescent="0.25">
      <c r="A7" s="9">
        <v>46203</v>
      </c>
      <c r="B7" s="4" t="s">
        <v>48</v>
      </c>
      <c r="C7" s="4" t="s">
        <v>49</v>
      </c>
      <c r="D7" s="4" t="s">
        <v>34</v>
      </c>
      <c r="E7" s="4" t="s">
        <v>50</v>
      </c>
      <c r="F7" s="4">
        <v>2000</v>
      </c>
      <c r="G7" s="11">
        <v>60</v>
      </c>
      <c r="H7" s="12">
        <f>F7*G7</f>
        <v>120000</v>
      </c>
    </row>
    <row r="8" ht="15" customHeight="1" spans="1:8" x14ac:dyDescent="0.25">
      <c r="A8" s="9">
        <v>46203</v>
      </c>
      <c r="B8" s="4" t="s">
        <v>51</v>
      </c>
      <c r="C8" s="4" t="s">
        <v>52</v>
      </c>
      <c r="D8" s="4" t="s">
        <v>53</v>
      </c>
      <c r="E8" s="4" t="s">
        <v>54</v>
      </c>
      <c r="F8" s="4">
        <v>2000</v>
      </c>
      <c r="G8" s="11">
        <v>25</v>
      </c>
      <c r="H8" s="12">
        <f>F8*G8</f>
        <v>50000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4" customWidth="1"/>
    <col min="2" max="2" width="20" customWidth="1"/>
    <col min="3" max="3" width="18" customWidth="1"/>
    <col min="4" max="4" width="20" customWidth="1"/>
  </cols>
  <sheetData>
    <row r="1" ht="21.75" customHeight="1" spans="1:4" x14ac:dyDescent="0.25">
      <c r="A1" s="8" t="s">
        <v>23</v>
      </c>
      <c r="B1" s="8" t="s">
        <v>55</v>
      </c>
      <c r="C1" s="8" t="s">
        <v>24</v>
      </c>
      <c r="D1" s="8" t="s">
        <v>56</v>
      </c>
    </row>
    <row r="2" ht="15" customHeight="1" spans="1:4" x14ac:dyDescent="0.25">
      <c r="A2" s="9">
        <v>46203</v>
      </c>
      <c r="B2" s="13">
        <f>SUM(posiciones!H2:H8)</f>
        <v>1400000</v>
      </c>
      <c r="C2" s="14">
        <f>INDEX(valor_cuotaparte!$B:$B,MATCH(A2,valor_cuotaparte!$A:$A,0))</f>
        <v>128.9</v>
      </c>
      <c r="D2" s="15">
        <f>B2/C2</f>
        <v>10861.1326609775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2" customWidth="1"/>
    <col min="2" max="2" width="20" customWidth="1"/>
    <col min="3" max="3" width="24" customWidth="1"/>
  </cols>
  <sheetData>
    <row r="1" ht="21.75" customHeight="1" spans="1:4" x14ac:dyDescent="0.25">
      <c r="A1" s="8" t="s">
        <v>57</v>
      </c>
      <c r="B1" s="8" t="s">
        <v>26</v>
      </c>
      <c r="C1" s="8" t="s">
        <v>58</v>
      </c>
      <c r="D1" s="8" t="s">
        <v>59</v>
      </c>
    </row>
    <row r="2" ht="15" customHeight="1" spans="1:4" x14ac:dyDescent="0.25">
      <c r="A2" s="4" t="s">
        <v>60</v>
      </c>
      <c r="B2" s="4" t="s">
        <v>61</v>
      </c>
      <c r="C2" s="4" t="s">
        <v>62</v>
      </c>
      <c r="D2" s="4" t="s">
        <v>63</v>
      </c>
    </row>
    <row r="3" ht="15" customHeight="1" spans="1:4" x14ac:dyDescent="0.25">
      <c r="A3" s="4" t="s">
        <v>64</v>
      </c>
      <c r="B3" s="4" t="s">
        <v>65</v>
      </c>
      <c r="C3" s="4" t="s">
        <v>66</v>
      </c>
      <c r="D3" s="4" t="s">
        <v>63</v>
      </c>
    </row>
    <row r="4" ht="15" customHeight="1" spans="1:4" x14ac:dyDescent="0.25">
      <c r="A4" s="4" t="s">
        <v>67</v>
      </c>
      <c r="B4" s="4" t="s">
        <v>68</v>
      </c>
      <c r="C4" s="4" t="s">
        <v>69</v>
      </c>
      <c r="D4" s="4" t="s">
        <v>63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 zoomScale="100" zoomScaleNormal="100" view="normal">
      <pane ySplit="1" topLeftCell="A2" activePane="bottomLeft" state="frozen"/>
      <selection pane="bottomLeft" activeCell="A1" sqref="A1"/>
    </sheetView>
  </sheetViews>
  <sheetFormatPr defaultRowHeight="15" outlineLevelRow="0" outlineLevelCol="0" x14ac:dyDescent="0" defaultColWidth="8.6796875"/>
  <cols>
    <col min="1" max="1" width="12" customWidth="1"/>
    <col min="2" max="2" width="14" customWidth="1"/>
    <col min="3" max="3" width="10" customWidth="1"/>
    <col min="4" max="5" width="14" customWidth="1"/>
  </cols>
  <sheetData>
    <row r="1" ht="21.75" customHeight="1" spans="1:5" x14ac:dyDescent="0.25">
      <c r="A1" s="8" t="s">
        <v>57</v>
      </c>
      <c r="B1" s="8" t="s">
        <v>23</v>
      </c>
      <c r="C1" s="8" t="s">
        <v>70</v>
      </c>
      <c r="D1" s="8" t="s">
        <v>71</v>
      </c>
      <c r="E1" s="8" t="s">
        <v>72</v>
      </c>
    </row>
    <row r="2" ht="15" customHeight="1" spans="1:5" x14ac:dyDescent="0.25">
      <c r="A2" s="4" t="s">
        <v>60</v>
      </c>
      <c r="B2" s="9">
        <v>45869</v>
      </c>
      <c r="C2" s="4" t="s">
        <v>73</v>
      </c>
      <c r="D2" s="16">
        <v>100000</v>
      </c>
      <c r="E2" s="14">
        <f>D2/INDEX(valor_cuotaparte!$B:$B,MATCH(B2,valor_cuotaparte!$A:$A,0))</f>
        <v>1000</v>
      </c>
    </row>
    <row r="3" ht="15" customHeight="1" spans="1:5" x14ac:dyDescent="0.25">
      <c r="A3" s="4" t="s">
        <v>60</v>
      </c>
      <c r="B3" s="9">
        <v>46053</v>
      </c>
      <c r="C3" s="4" t="s">
        <v>73</v>
      </c>
      <c r="D3" s="16">
        <v>50000</v>
      </c>
      <c r="E3" s="14">
        <f>D3/INDEX(valor_cuotaparte!$B:$B,MATCH(B3,valor_cuotaparte!$A:$A,0))</f>
        <v>458.715596330275</v>
      </c>
    </row>
    <row r="4" ht="15" customHeight="1" spans="1:5" x14ac:dyDescent="0.25">
      <c r="A4" s="4" t="s">
        <v>64</v>
      </c>
      <c r="B4" s="9">
        <v>45930</v>
      </c>
      <c r="C4" s="4" t="s">
        <v>73</v>
      </c>
      <c r="D4" s="16">
        <v>200000</v>
      </c>
      <c r="E4" s="14">
        <f>D4/INDEX(valor_cuotaparte!$B:$B,MATCH(B4,valor_cuotaparte!$A:$A,0))</f>
        <v>1978.2393669634</v>
      </c>
    </row>
    <row r="5" ht="15" customHeight="1" spans="1:5" x14ac:dyDescent="0.25">
      <c r="A5" s="4" t="s">
        <v>64</v>
      </c>
      <c r="B5" s="9">
        <v>46112</v>
      </c>
      <c r="C5" s="4" t="s">
        <v>74</v>
      </c>
      <c r="D5" s="16">
        <v>30000</v>
      </c>
      <c r="E5" s="14">
        <f>D5/INDEX(valor_cuotaparte!$B:$B,MATCH(B5,valor_cuotaparte!$A:$A,0))</f>
        <v>254.668930390492</v>
      </c>
    </row>
    <row r="6" ht="15" customHeight="1" spans="1:5" x14ac:dyDescent="0.25">
      <c r="A6" s="4" t="s">
        <v>67</v>
      </c>
      <c r="B6" s="9">
        <v>45991</v>
      </c>
      <c r="C6" s="4" t="s">
        <v>73</v>
      </c>
      <c r="D6" s="16">
        <v>80000</v>
      </c>
      <c r="E6" s="14">
        <f>D6/INDEX(valor_cuotaparte!$B:$B,MATCH(B6,valor_cuotaparte!$A:$A,0))</f>
        <v>739.371534195934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instrucciones</vt:lpstr>
      <vt:lpstr>valor_cuotaparte</vt:lpstr>
      <vt:lpstr>posiciones</vt:lpstr>
      <vt:lpstr>fondo</vt:lpstr>
      <vt:lpstr>clientes</vt:lpstr>
      <vt:lpstr>movimientos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en-US</dc:language>
  <cp:lastModifiedBy>Unknown</cp:lastModifiedBy>
  <dcterms:created xsi:type="dcterms:W3CDTF">2026-06-29T22:53:38Z</dcterms:created>
  <dcterms:modified xsi:type="dcterms:W3CDTF">2026-06-29T22:53:38Z</dcterms:modified>
</cp:coreProperties>
</file>