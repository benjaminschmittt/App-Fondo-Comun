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valor_cuotaparte" sheetId="2" state="visible" r:id="rId4"/>
    <sheet name="posiciones" sheetId="3" state="visible" r:id="rId5"/>
    <sheet name="fondo" sheetId="4" state="visible" r:id="rId6"/>
    <sheet name="clientes" sheetId="5" state="visible" r:id="rId7"/>
    <sheet name="movimiento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<sst xmlns="http://schemas.openxmlformats.org/spreadsheetml/2006/main" count="96" uniqueCount="75">
  <si>
    <t xml:space="preserve">ARCHIVO MADRE — FONDO PRIVADO (EJEMPLO)</t>
  </si>
  <si>
    <t xml:space="preserve">Este archivo es la fuente de carga del portal de clientes. La app NO lo lee en vivo:</t>
  </si>
  <si>
    <t xml:space="preserve">un proceso de importacion lo valida y vuelca los datos a la base de datos.</t>
  </si>
  <si>
    <t xml:space="preserve">COMO LEER LOS COLORES DE LAS CELDAS:</t>
  </si>
  <si>
    <t xml:space="preserve">   • Texto AZUL  = dato que el administrador carga a mano.</t>
  </si>
  <si>
    <t xml:space="preserve">   • Texto NEGRO = se calcula solo (formula dentro de la misma hoja).</t>
  </si>
  <si>
    <t xml:space="preserve">   • Texto VERDE = se calcula solo (formula que toma datos de otra hoja).</t>
  </si>
  <si>
    <t xml:space="preserve">REGLAS PARA QUE LA APP LO LEA SIN ERRORES:</t>
  </si>
  <si>
    <t xml:space="preserve">   • Una sola fila de encabezados (fila 1). Los datos arrancan en la fila 2.</t>
  </si>
  <si>
    <t xml:space="preserve">   • Fechas en formato AAAA-MM-DD. Numeros como numeros (sin $ ni texto).</t>
  </si>
  <si>
    <t xml:space="preserve">   • Sin celdas combinadas, sin filas en blanco intermedias.</t>
  </si>
  <si>
    <t xml:space="preserve">   • Para agregar datos nuevos (un mes, un movimiento) se agrega una FILA, nunca una hoja nueva.</t>
  </si>
  <si>
    <t xml:space="preserve">SEGURIDAD — IMPORTANTE:</t>
  </si>
  <si>
    <t xml:space="preserve">   • Las contraseñas NUNCA van en este archivo. El login lo maneja el sistema de autenticacion.</t>
  </si>
  <si>
    <t xml:space="preserve">   • Cada cliente se vincula por su 'cliente_id' / 'email'.</t>
  </si>
  <si>
    <t xml:space="preserve">HOJAS DEL ARCHIVO:</t>
  </si>
  <si>
    <t xml:space="preserve">   fondo            → corte general del fondo (total, cuotaparte, cuotapartes emitidas).</t>
  </si>
  <si>
    <t xml:space="preserve">   valor_cuotaparte → historico del valor de la cuotaparte (una fila por fecha).</t>
  </si>
  <si>
    <t xml:space="preserve">   posiciones       → posiciones actuales del fondo (una fila por activo).</t>
  </si>
  <si>
    <t xml:space="preserve">   clientes         → registro de clientes (una fila por cliente).</t>
  </si>
  <si>
    <t xml:space="preserve">   movimientos      → aportes y retiros (una fila por movimiento).</t>
  </si>
  <si>
    <t xml:space="preserve">La cantidad de cuotapartes y el valor de la inversion de cada cliente NO se cargan:</t>
  </si>
  <si>
    <t xml:space="preserve">la app los deriva a partir de los movimientos y del historico de la cuotaparte.</t>
  </si>
  <si>
    <t xml:space="preserve">fecha</t>
  </si>
  <si>
    <t xml:space="preserve">valor_cuotaparte</t>
  </si>
  <si>
    <t xml:space="preserve">ticker</t>
  </si>
  <si>
    <t xml:space="preserve">nombre</t>
  </si>
  <si>
    <t xml:space="preserve">tipo_instrumento</t>
  </si>
  <si>
    <t xml:space="preserve">sector</t>
  </si>
  <si>
    <t xml:space="preserve">cantidad</t>
  </si>
  <si>
    <t xml:space="preserve">precio</t>
  </si>
  <si>
    <t xml:space="preserve">valor_mercado</t>
  </si>
  <si>
    <t xml:space="preserve">AAPL</t>
  </si>
  <si>
    <t xml:space="preserve">Apple Inc.</t>
  </si>
  <si>
    <t xml:space="preserve">Accion</t>
  </si>
  <si>
    <t xml:space="preserve">Tecnologia</t>
  </si>
  <si>
    <t xml:space="preserve">MSFT</t>
  </si>
  <si>
    <t xml:space="preserve">Microsoft</t>
  </si>
  <si>
    <t xml:space="preserve">NVDA</t>
  </si>
  <si>
    <t xml:space="preserve">Nvidia</t>
  </si>
  <si>
    <t xml:space="preserve">SPY</t>
  </si>
  <si>
    <t xml:space="preserve">ETF S&amp;P 500</t>
  </si>
  <si>
    <t xml:space="preserve">ETF</t>
  </si>
  <si>
    <t xml:space="preserve">Diversificado</t>
  </si>
  <si>
    <t xml:space="preserve">AL30</t>
  </si>
  <si>
    <t xml:space="preserve">Bono Soberano AL30</t>
  </si>
  <si>
    <t xml:space="preserve">Bono</t>
  </si>
  <si>
    <t xml:space="preserve">Renta Fija</t>
  </si>
  <si>
    <t xml:space="preserve">GGAL</t>
  </si>
  <si>
    <t xml:space="preserve">Grupo Galicia</t>
  </si>
  <si>
    <t xml:space="preserve">Financiero</t>
  </si>
  <si>
    <t xml:space="preserve">TSLA-P</t>
  </si>
  <si>
    <t xml:space="preserve">Put Tesla (cobertura)</t>
  </si>
  <si>
    <t xml:space="preserve">Opcion</t>
  </si>
  <si>
    <t xml:space="preserve">Derivados</t>
  </si>
  <si>
    <t xml:space="preserve">valor_total_fondo</t>
  </si>
  <si>
    <t xml:space="preserve">cuotapartes_totales</t>
  </si>
  <si>
    <t xml:space="preserve">cliente_id</t>
  </si>
  <si>
    <t xml:space="preserve">email</t>
  </si>
  <si>
    <t xml:space="preserve">activo</t>
  </si>
  <si>
    <t xml:space="preserve">CLI-0001</t>
  </si>
  <si>
    <t xml:space="preserve">Juan Perez</t>
  </si>
  <si>
    <t xml:space="preserve">juan@ejemplo.com</t>
  </si>
  <si>
    <t xml:space="preserve">si</t>
  </si>
  <si>
    <t xml:space="preserve">CLI-0002</t>
  </si>
  <si>
    <t xml:space="preserve">Maria Gonzalez</t>
  </si>
  <si>
    <t xml:space="preserve">maria@ejemplo.com</t>
  </si>
  <si>
    <t xml:space="preserve">CLI-0003</t>
  </si>
  <si>
    <t xml:space="preserve">Carlos Diaz</t>
  </si>
  <si>
    <t xml:space="preserve">carlos@ejemplo.com</t>
  </si>
  <si>
    <t xml:space="preserve">tipo</t>
  </si>
  <si>
    <t xml:space="preserve">monto</t>
  </si>
  <si>
    <t xml:space="preserve">cuotapartes</t>
  </si>
  <si>
    <t xml:space="preserve">aporte</t>
  </si>
  <si>
    <t xml:space="preserve">retiro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</si>
</sst>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0.0000"/>
    <numFmt numFmtId="167" formatCode="\$#,##0.00"/>
    <numFmt numFmtId="168" formatCode="\$#,##0"/>
    <numFmt numFmtId="169" formatCode="#,##0.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296B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B91C1C"/>
      <name val="Arial"/>
      <family val="0"/>
      <charset val="1"/>
    </font>
    <font>
      <sz val="10"/>
      <color rgb="FFB91C1C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296B"/>
        <bgColor rgb="FF000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96B"/>
      <rgbColor rgb="FF339966"/>
      <rgbColor rgb="FF003300"/>
      <rgbColor rgb="FF333300"/>
      <rgbColor rgb="FFB9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5" t="s">
        <v>6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6" t="s">
        <v>12</v>
      </c>
    </row>
    <row r="18" customFormat="false" ht="15" hidden="false" customHeight="false" outlineLevel="0" collapsed="false">
      <c r="A18" s="7" t="s">
        <v>13</v>
      </c>
    </row>
    <row r="19" customFormat="false" ht="1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15</v>
      </c>
    </row>
    <row r="22" customFormat="false" ht="15" hidden="false" customHeight="false" outlineLevel="0" collapsed="false">
      <c r="A22" s="2" t="s">
        <v>16</v>
      </c>
    </row>
    <row r="23" customFormat="false" ht="15" hidden="false" customHeight="false" outlineLevel="0" collapsed="false">
      <c r="A23" s="2" t="s">
        <v>17</v>
      </c>
    </row>
    <row r="24" customFormat="false" ht="15" hidden="false" customHeight="false" outlineLevel="0" collapsed="false">
      <c r="A24" s="2" t="s">
        <v>18</v>
      </c>
    </row>
    <row r="25" customFormat="false" ht="15" hidden="false" customHeight="false" outlineLevel="0" collapsed="false">
      <c r="A25" s="2" t="s">
        <v>19</v>
      </c>
    </row>
    <row r="26" customFormat="false" ht="1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/>
    </row>
    <row r="28" customFormat="false" ht="15" hidden="false" customHeight="false" outlineLevel="0" collapsed="false">
      <c r="A28" s="2" t="s">
        <v>21</v>
      </c>
    </row>
    <row r="29" customFormat="false" ht="15" hidden="false" customHeight="false" outlineLevel="0" collapsed="false">
      <c r="A29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</cols>
  <sheetData>
    <row r="1" customFormat="false" ht="21.75" hidden="false" customHeight="true" outlineLevel="0" collapsed="false">
      <c r="A1" s="8" t="s">
        <v>23</v>
      </c>
      <c r="B1" s="8" t="s">
        <v>24</v>
      </c>
    </row>
    <row r="2" customFormat="false" ht="15" hidden="false" customHeight="false" outlineLevel="0" collapsed="false">
      <c r="A2" s="9" t="n">
        <v>45869</v>
      </c>
      <c r="B2" s="10" t="n">
        <v>100</v>
      </c>
    </row>
    <row r="3" customFormat="false" ht="15" hidden="false" customHeight="false" outlineLevel="0" collapsed="false">
      <c r="A3" s="9" t="n">
        <v>45900</v>
      </c>
      <c r="B3" s="10" t="n">
        <v>102.3</v>
      </c>
    </row>
    <row r="4" customFormat="false" ht="15" hidden="false" customHeight="false" outlineLevel="0" collapsed="false">
      <c r="A4" s="9" t="n">
        <v>45930</v>
      </c>
      <c r="B4" s="10" t="n">
        <v>101.1</v>
      </c>
    </row>
    <row r="5" customFormat="false" ht="15" hidden="false" customHeight="false" outlineLevel="0" collapsed="false">
      <c r="A5" s="9" t="n">
        <v>45961</v>
      </c>
      <c r="B5" s="10" t="n">
        <v>105.6</v>
      </c>
    </row>
    <row r="6" customFormat="false" ht="15" hidden="false" customHeight="false" outlineLevel="0" collapsed="false">
      <c r="A6" s="9" t="n">
        <v>45991</v>
      </c>
      <c r="B6" s="10" t="n">
        <v>108.2</v>
      </c>
    </row>
    <row r="7" customFormat="false" ht="15" hidden="false" customHeight="false" outlineLevel="0" collapsed="false">
      <c r="A7" s="9" t="n">
        <v>46022</v>
      </c>
      <c r="B7" s="10" t="n">
        <v>110.5</v>
      </c>
    </row>
    <row r="8" customFormat="false" ht="15" hidden="false" customHeight="false" outlineLevel="0" collapsed="false">
      <c r="A8" s="9" t="n">
        <v>46053</v>
      </c>
      <c r="B8" s="10" t="n">
        <v>109</v>
      </c>
    </row>
    <row r="9" customFormat="false" ht="15" hidden="false" customHeight="false" outlineLevel="0" collapsed="false">
      <c r="A9" s="9" t="n">
        <v>46081</v>
      </c>
      <c r="B9" s="10" t="n">
        <v>113.4</v>
      </c>
    </row>
    <row r="10" customFormat="false" ht="15" hidden="false" customHeight="false" outlineLevel="0" collapsed="false">
      <c r="A10" s="9" t="n">
        <v>46112</v>
      </c>
      <c r="B10" s="10" t="n">
        <v>117.8</v>
      </c>
    </row>
    <row r="11" customFormat="false" ht="15" hidden="false" customHeight="false" outlineLevel="0" collapsed="false">
      <c r="A11" s="9" t="n">
        <v>46142</v>
      </c>
      <c r="B11" s="10" t="n">
        <v>119.2</v>
      </c>
    </row>
    <row r="12" customFormat="false" ht="15" hidden="false" customHeight="false" outlineLevel="0" collapsed="false">
      <c r="A12" s="9" t="n">
        <v>46173</v>
      </c>
      <c r="B12" s="10" t="n">
        <v>124.6</v>
      </c>
    </row>
    <row r="13" customFormat="false" ht="15" hidden="false" customHeight="false" outlineLevel="0" collapsed="false">
      <c r="A13" s="9" t="n">
        <v>46203</v>
      </c>
      <c r="B13" s="10" t="n">
        <v>128.9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4"/>
  </cols>
  <sheetData>
    <row r="1" customFormat="false" ht="21.75" hidden="false" customHeight="true" outlineLevel="0" collapsed="false">
      <c r="A1" s="8" t="s">
        <v>23</v>
      </c>
      <c r="B1" s="8" t="s">
        <v>25</v>
      </c>
      <c r="C1" s="8" t="s">
        <v>26</v>
      </c>
      <c r="D1" s="8" t="s">
        <v>27</v>
      </c>
      <c r="E1" s="8" t="s">
        <v>28</v>
      </c>
      <c r="F1" s="8" t="s">
        <v>29</v>
      </c>
      <c r="G1" s="8" t="s">
        <v>30</v>
      </c>
      <c r="H1" s="8" t="s">
        <v>31</v>
      </c>
    </row>
    <row r="2" customFormat="false" ht="15" hidden="false" customHeight="false" outlineLevel="0" collapsed="false">
      <c r="A2" s="9" t="n">
        <v>46203</v>
      </c>
      <c r="B2" s="4" t="s">
        <v>32</v>
      </c>
      <c r="C2" s="4" t="s">
        <v>33</v>
      </c>
      <c r="D2" s="4" t="s">
        <v>34</v>
      </c>
      <c r="E2" s="4" t="s">
        <v>35</v>
      </c>
      <c r="F2" s="4" t="n">
        <v>1000</v>
      </c>
      <c r="G2" s="11" t="n">
        <v>320</v>
      </c>
      <c r="H2" s="12" t="n">
        <f aca="false">F2*G2</f>
        <v>320000</v>
      </c>
    </row>
    <row r="3" customFormat="false" ht="15" hidden="false" customHeight="false" outlineLevel="0" collapsed="false">
      <c r="A3" s="9" t="n">
        <v>46203</v>
      </c>
      <c r="B3" s="4" t="s">
        <v>36</v>
      </c>
      <c r="C3" s="4" t="s">
        <v>37</v>
      </c>
      <c r="D3" s="4" t="s">
        <v>34</v>
      </c>
      <c r="E3" s="4" t="s">
        <v>35</v>
      </c>
      <c r="F3" s="4" t="n">
        <v>500</v>
      </c>
      <c r="G3" s="11" t="n">
        <v>560</v>
      </c>
      <c r="H3" s="12" t="n">
        <f aca="false">F3*G3</f>
        <v>280000</v>
      </c>
    </row>
    <row r="4" customFormat="false" ht="15" hidden="false" customHeight="false" outlineLevel="0" collapsed="false">
      <c r="A4" s="9" t="n">
        <v>46203</v>
      </c>
      <c r="B4" s="4" t="s">
        <v>38</v>
      </c>
      <c r="C4" s="4" t="s">
        <v>39</v>
      </c>
      <c r="D4" s="4" t="s">
        <v>34</v>
      </c>
      <c r="E4" s="4" t="s">
        <v>35</v>
      </c>
      <c r="F4" s="4" t="n">
        <v>200</v>
      </c>
      <c r="G4" s="11" t="n">
        <v>1000</v>
      </c>
      <c r="H4" s="12" t="n">
        <f aca="false">F4*G4</f>
        <v>200000</v>
      </c>
    </row>
    <row r="5" customFormat="false" ht="15" hidden="false" customHeight="false" outlineLevel="0" collapsed="false">
      <c r="A5" s="9" t="n">
        <v>46203</v>
      </c>
      <c r="B5" s="4" t="s">
        <v>40</v>
      </c>
      <c r="C5" s="4" t="s">
        <v>41</v>
      </c>
      <c r="D5" s="4" t="s">
        <v>42</v>
      </c>
      <c r="E5" s="4" t="s">
        <v>43</v>
      </c>
      <c r="F5" s="4" t="n">
        <v>500</v>
      </c>
      <c r="G5" s="11" t="n">
        <v>500</v>
      </c>
      <c r="H5" s="12" t="n">
        <f aca="false">F5*G5</f>
        <v>250000</v>
      </c>
    </row>
    <row r="6" customFormat="false" ht="15" hidden="false" customHeight="false" outlineLevel="0" collapsed="false">
      <c r="A6" s="9" t="n">
        <v>46203</v>
      </c>
      <c r="B6" s="4" t="s">
        <v>44</v>
      </c>
      <c r="C6" s="4" t="s">
        <v>45</v>
      </c>
      <c r="D6" s="4" t="s">
        <v>46</v>
      </c>
      <c r="E6" s="4" t="s">
        <v>47</v>
      </c>
      <c r="F6" s="4" t="n">
        <v>2000</v>
      </c>
      <c r="G6" s="11" t="n">
        <v>90</v>
      </c>
      <c r="H6" s="12" t="n">
        <f aca="false">F6*G6</f>
        <v>180000</v>
      </c>
    </row>
    <row r="7" customFormat="false" ht="15" hidden="false" customHeight="false" outlineLevel="0" collapsed="false">
      <c r="A7" s="9" t="n">
        <v>46203</v>
      </c>
      <c r="B7" s="4" t="s">
        <v>48</v>
      </c>
      <c r="C7" s="4" t="s">
        <v>49</v>
      </c>
      <c r="D7" s="4" t="s">
        <v>34</v>
      </c>
      <c r="E7" s="4" t="s">
        <v>50</v>
      </c>
      <c r="F7" s="4" t="n">
        <v>2000</v>
      </c>
      <c r="G7" s="11" t="n">
        <v>60</v>
      </c>
      <c r="H7" s="12" t="n">
        <f aca="false">F7*G7</f>
        <v>120000</v>
      </c>
    </row>
    <row r="8" customFormat="false" ht="15" hidden="false" customHeight="false" outlineLevel="0" collapsed="false">
      <c r="A8" s="9" t="n">
        <v>46203</v>
      </c>
      <c r="B8" s="4" t="s">
        <v>51</v>
      </c>
      <c r="C8" s="4" t="s">
        <v>52</v>
      </c>
      <c r="D8" s="4" t="s">
        <v>53</v>
      </c>
      <c r="E8" s="4" t="s">
        <v>54</v>
      </c>
      <c r="F8" s="4" t="n">
        <v>2000</v>
      </c>
      <c r="G8" s="11" t="n">
        <v>25</v>
      </c>
      <c r="H8" s="12" t="n">
        <f aca="false">F8*G8</f>
        <v>50000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20"/>
  </cols>
  <sheetData>
    <row r="1" customFormat="false" ht="21.75" hidden="false" customHeight="true" outlineLevel="0" collapsed="false">
      <c r="A1" s="8" t="s">
        <v>23</v>
      </c>
      <c r="B1" s="8" t="s">
        <v>55</v>
      </c>
      <c r="C1" s="8" t="s">
        <v>24</v>
      </c>
      <c r="D1" s="8" t="s">
        <v>56</v>
      </c>
    </row>
    <row r="2" customFormat="false" ht="15" hidden="false" customHeight="false" outlineLevel="0" collapsed="false">
      <c r="A2" s="9" t="n">
        <v>46203</v>
      </c>
      <c r="B2" s="13" t="n">
        <f aca="false">SUM(posiciones!H2:H8)</f>
        <v>1400000</v>
      </c>
      <c r="C2" s="14" t="n">
        <f aca="false">INDEX(valor_cuotaparte!$B:$B,MATCH(A2,valor_cuotaparte!$A:$A,0))</f>
        <v>128.9</v>
      </c>
      <c r="D2" s="15" t="n">
        <f aca="false">B2/C2</f>
        <v>10861.1326609775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9"/>
  </cols>
  <sheetData>
    <row r="1" customFormat="false" ht="21.75" hidden="false" customHeight="true" outlineLevel="0" collapsed="false">
      <c r="A1" s="8" t="s">
        <v>57</v>
      </c>
      <c r="B1" s="8" t="s">
        <v>26</v>
      </c>
      <c r="C1" s="8" t="s">
        <v>58</v>
      </c>
      <c r="D1" s="8" t="s">
        <v>59</v>
      </c>
    </row>
    <row r="2" customFormat="false" ht="15" hidden="false" customHeight="false" outlineLevel="0" collapsed="false">
      <c r="A2" s="4" t="s">
        <v>60</v>
      </c>
      <c r="B2" s="4" t="s">
        <v>61</v>
      </c>
      <c r="C2" s="4" t="s">
        <v>62</v>
      </c>
      <c r="D2" s="4" t="s">
        <v>63</v>
      </c>
    </row>
    <row r="3" customFormat="false" ht="15" hidden="false" customHeight="false" outlineLevel="0" collapsed="false">
      <c r="A3" s="4" t="s">
        <v>64</v>
      </c>
      <c r="B3" s="4" t="s">
        <v>65</v>
      </c>
      <c r="C3" s="4" t="s">
        <v>66</v>
      </c>
      <c r="D3" s="4" t="s">
        <v>63</v>
      </c>
    </row>
    <row r="4" customFormat="false" ht="15" hidden="false" customHeight="false" outlineLevel="0" collapsed="false">
      <c r="A4" s="4" t="s">
        <v>67</v>
      </c>
      <c r="B4" s="4" t="s">
        <v>68</v>
      </c>
      <c r="C4" s="4" t="s">
        <v>69</v>
      </c>
      <c r="D4" s="4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4"/>
  </cols>
  <sheetData>
    <row r="1" customFormat="false" ht="21.75" hidden="false" customHeight="true" outlineLevel="0" collapsed="false">
      <c r="A1" s="8" t="s">
        <v>57</v>
      </c>
      <c r="B1" s="8" t="s">
        <v>23</v>
      </c>
      <c r="C1" s="8" t="s">
        <v>70</v>
      </c>
      <c r="D1" s="8" t="s">
        <v>71</v>
      </c>
      <c r="E1" s="8" t="s">
        <v>72</v>
      </c>
    </row>
    <row r="2" customFormat="false" ht="15" hidden="false" customHeight="false" outlineLevel="0" collapsed="false">
      <c r="A2" s="4" t="s">
        <v>60</v>
      </c>
      <c r="B2" s="9" t="n">
        <v>45869</v>
      </c>
      <c r="C2" s="4" t="s">
        <v>73</v>
      </c>
      <c r="D2" s="16" t="n">
        <v>100000</v>
      </c>
      <c r="E2" s="14" t="n">
        <f aca="false">D2/INDEX(valor_cuotaparte!$B:$B,MATCH(B2,valor_cuotaparte!$A:$A,0))</f>
        <v>1000</v>
      </c>
    </row>
    <row r="3" customFormat="false" ht="15" hidden="false" customHeight="false" outlineLevel="0" collapsed="false">
      <c r="A3" s="4" t="s">
        <v>60</v>
      </c>
      <c r="B3" s="9" t="n">
        <v>46053</v>
      </c>
      <c r="C3" s="4" t="s">
        <v>73</v>
      </c>
      <c r="D3" s="16" t="n">
        <v>50000</v>
      </c>
      <c r="E3" s="14" t="n">
        <f aca="false">D3/INDEX(valor_cuotaparte!$B:$B,MATCH(B3,valor_cuotaparte!$A:$A,0))</f>
        <v>458.715596330275</v>
      </c>
    </row>
    <row r="4" customFormat="false" ht="15" hidden="false" customHeight="false" outlineLevel="0" collapsed="false">
      <c r="A4" s="4" t="s">
        <v>64</v>
      </c>
      <c r="B4" s="9" t="n">
        <v>45930</v>
      </c>
      <c r="C4" s="4" t="s">
        <v>73</v>
      </c>
      <c r="D4" s="16" t="n">
        <v>200000</v>
      </c>
      <c r="E4" s="14" t="n">
        <f aca="false">D4/INDEX(valor_cuotaparte!$B:$B,MATCH(B4,valor_cuotaparte!$A:$A,0))</f>
        <v>1978.2393669634</v>
      </c>
    </row>
    <row r="5" customFormat="false" ht="15" hidden="false" customHeight="false" outlineLevel="0" collapsed="false">
      <c r="A5" s="4" t="s">
        <v>64</v>
      </c>
      <c r="B5" s="9" t="n">
        <v>46112</v>
      </c>
      <c r="C5" s="4" t="s">
        <v>74</v>
      </c>
      <c r="D5" s="16" t="n">
        <v>30000</v>
      </c>
      <c r="E5" s="14" t="n">
        <f aca="false">D5/INDEX(valor_cuotaparte!$B:$B,MATCH(B5,valor_cuotaparte!$A:$A,0))</f>
        <v>254.668930390492</v>
      </c>
    </row>
    <row r="6" customFormat="false" ht="15" hidden="false" customHeight="false" outlineLevel="0" collapsed="false">
      <c r="A6" s="4" t="s">
        <v>67</v>
      </c>
      <c r="B6" s="9" t="n">
        <v>45991</v>
      </c>
      <c r="C6" s="4" t="s">
        <v>73</v>
      </c>
      <c r="D6" s="16" t="n">
        <v>80000</v>
      </c>
      <c r="E6" s="14" t="n">
        <f aca="false">D6/INDEX(valor_cuotaparte!$B:$B,MATCH(B6,valor_cuotaparte!$A:$A,0))</f>
        <v>739.371534195934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2026-06-29T22:53:38Z</dcterms:created>
  <dc:creator>openpyxl</dc:creator>
  <dc:description/>
  <dc:language>en-US</dc:language>
  <cp:lastModifiedBy/>
  <dcterms:modified xsi:type="dcterms:W3CDTF">2026-06-29T22:53:38Z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